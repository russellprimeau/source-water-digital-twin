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me.ansatt.ntnu.no\russelbp\Documents\Other Projects\Fremmerholen\Output\Nitrogen\"/>
    </mc:Choice>
  </mc:AlternateContent>
  <xr:revisionPtr revIDLastSave="0" documentId="13_ncr:9_{C7C2E6AD-CEEE-499C-B946-2E77FF20BE24}" xr6:coauthVersionLast="47" xr6:coauthVersionMax="47" xr10:uidLastSave="{00000000-0000-0000-0000-000000000000}"/>
  <bookViews>
    <workbookView xWindow="-120" yWindow="-120" windowWidth="38640" windowHeight="21240" xr2:uid="{DF9D4901-A015-4C91-BF40-26655F83F5A5}"/>
  </bookViews>
  <sheets>
    <sheet name="Sums" sheetId="2" r:id="rId1"/>
    <sheet name="sumCnrvTrcr" sheetId="1" r:id="rId2"/>
  </sheets>
  <calcPr calcId="0"/>
</workbook>
</file>

<file path=xl/calcChain.xml><?xml version="1.0" encoding="utf-8"?>
<calcChain xmlns="http://schemas.openxmlformats.org/spreadsheetml/2006/main">
  <c r="E36" i="2" l="1"/>
  <c r="E35" i="2"/>
  <c r="E34" i="2"/>
  <c r="E33" i="2"/>
  <c r="E28" i="2"/>
  <c r="E26" i="2"/>
  <c r="E27" i="2"/>
  <c r="E25" i="2"/>
  <c r="C13" i="2"/>
  <c r="D13" i="2"/>
  <c r="E13" i="2"/>
  <c r="F13" i="2"/>
  <c r="C12" i="2"/>
  <c r="C5" i="2"/>
  <c r="D5" i="2"/>
  <c r="E5" i="2"/>
  <c r="F5" i="2"/>
  <c r="D12" i="2"/>
  <c r="E12" i="2"/>
  <c r="F12" i="2"/>
  <c r="D11" i="2"/>
  <c r="E11" i="2"/>
  <c r="F11" i="2"/>
  <c r="C11" i="2"/>
  <c r="C4" i="2"/>
  <c r="D4" i="2"/>
  <c r="E4" i="2"/>
  <c r="F4" i="2"/>
  <c r="D3" i="2"/>
  <c r="E3" i="2"/>
  <c r="F3" i="2"/>
  <c r="C3" i="2"/>
</calcChain>
</file>

<file path=xl/sharedStrings.xml><?xml version="1.0" encoding="utf-8"?>
<sst xmlns="http://schemas.openxmlformats.org/spreadsheetml/2006/main" count="44" uniqueCount="22">
  <si>
    <t>Timesteps</t>
  </si>
  <si>
    <t>Period</t>
  </si>
  <si>
    <t>Cumulative load, g</t>
  </si>
  <si>
    <t>1 day</t>
  </si>
  <si>
    <t>1 week</t>
  </si>
  <si>
    <t>1 month</t>
  </si>
  <si>
    <t>3 months</t>
  </si>
  <si>
    <t>Model</t>
  </si>
  <si>
    <t>Conservative Tracer</t>
  </si>
  <si>
    <t>Decaying Tracer</t>
  </si>
  <si>
    <t>Simple Oxygen</t>
  </si>
  <si>
    <t>Eutrophication</t>
  </si>
  <si>
    <t>Cumulative NO3, g</t>
  </si>
  <si>
    <t>Cumulative NH4, g</t>
  </si>
  <si>
    <t>Spjelkavikelva</t>
  </si>
  <si>
    <t>Vasstrandlia Pump Intake</t>
  </si>
  <si>
    <t>NH4, g</t>
  </si>
  <si>
    <t xml:space="preserve"> NO3, g</t>
  </si>
  <si>
    <t>NH4, g/m3</t>
  </si>
  <si>
    <t xml:space="preserve"> NO3, g/m3</t>
  </si>
  <si>
    <t>Model Iteration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</si>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</sst>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1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03F8-3147-42A0-90FA-5DD871D2A60B}">
  <dimension ref="B1:K36"/>
  <sheetViews>
    <sheetView tabSelected="1" workbookViewId="0">
      <selection activeCell="C11" sqref="C11:F14"/>
    </sheetView>
  </sheetViews>
  <sheetFormatPr defaultRowHeight="15" x14ac:dyDescent="0.25"/>
  <cols>
    <col min="1" max="1" width="9.140625" style="1"/>
    <col min="2" max="2" width="18.42578125" style="1" bestFit="1" customWidth="1"/>
    <col min="3" max="3" width="18.28515625" style="1" bestFit="1" customWidth="1"/>
    <col min="4" max="4" width="15.42578125" style="1" bestFit="1" customWidth="1"/>
    <col min="5" max="6" width="10.5703125" style="1" bestFit="1" customWidth="1"/>
    <col min="7" max="16384" width="9.140625" style="1"/>
  </cols>
  <sheetData>
    <row r="1" spans="2:11" x14ac:dyDescent="0.25">
      <c r="C1" s="1" t="s">
        <v>13</v>
      </c>
    </row>
    <row r="2" spans="2:11" x14ac:dyDescent="0.25">
      <c r="B2" s="1" t="s">
        <v>7</v>
      </c>
      <c r="C2" s="1" t="s">
        <v>3</v>
      </c>
      <c r="D2" s="1" t="s">
        <v>4</v>
      </c>
      <c r="E2" s="1" t="s">
        <v>5</v>
      </c>
      <c r="F2" s="1" t="s">
        <v>6</v>
      </c>
    </row>
    <row r="3" spans="2:11" x14ac:dyDescent="0.25">
      <c r="B3" s="3" t="s">
        <v>8</v>
      </c>
      <c r="C3" s="2">
        <f>H3/2</f>
        <v>10.959832413589</v>
      </c>
      <c r="D3" s="2">
        <f t="shared" ref="D3:F3" si="0">I3/2</f>
        <v>28.324353385278549</v>
      </c>
      <c r="E3" s="2">
        <f t="shared" si="0"/>
        <v>34.852127522083151</v>
      </c>
      <c r="F3" s="2">
        <f t="shared" si="0"/>
        <v>42.656478070460203</v>
      </c>
      <c r="H3" s="2">
        <v>21.919664827178</v>
      </c>
      <c r="I3" s="2">
        <v>56.648706770557098</v>
      </c>
      <c r="J3" s="2">
        <v>69.704255044166302</v>
      </c>
      <c r="K3" s="2">
        <v>85.312956140920406</v>
      </c>
    </row>
    <row r="4" spans="2:11" x14ac:dyDescent="0.25">
      <c r="B4" s="3" t="s">
        <v>9</v>
      </c>
      <c r="C4" s="2">
        <f>H4/2</f>
        <v>10.91692151175895</v>
      </c>
      <c r="D4" s="2">
        <f t="shared" ref="D4" si="1">I4/2</f>
        <v>27.862187678170201</v>
      </c>
      <c r="E4" s="2">
        <f t="shared" ref="E4" si="2">J4/2</f>
        <v>33.444778245307504</v>
      </c>
      <c r="F4" s="2">
        <f t="shared" ref="F4" si="3">K4/2</f>
        <v>37.871289190077398</v>
      </c>
      <c r="H4">
        <v>21.8338430235179</v>
      </c>
      <c r="I4">
        <v>55.724375356340403</v>
      </c>
      <c r="J4">
        <v>66.889556490615007</v>
      </c>
      <c r="K4">
        <v>75.742578380154796</v>
      </c>
    </row>
    <row r="5" spans="2:11" x14ac:dyDescent="0.25">
      <c r="B5" s="3" t="s">
        <v>10</v>
      </c>
      <c r="C5" s="2">
        <f>H5/2</f>
        <v>10.7304558099744</v>
      </c>
      <c r="D5" s="2">
        <f t="shared" ref="D5" si="4">I5/2</f>
        <v>25.964829167211249</v>
      </c>
      <c r="E5" s="2">
        <f t="shared" ref="E5" si="5">J5/2</f>
        <v>28.968900201942251</v>
      </c>
      <c r="F5" s="2">
        <f t="shared" ref="F5" si="6">K5/2</f>
        <v>29.537592426520099</v>
      </c>
      <c r="H5">
        <v>21.460911619948799</v>
      </c>
      <c r="I5">
        <v>51.929658334422498</v>
      </c>
      <c r="J5">
        <v>57.937800403884502</v>
      </c>
      <c r="K5">
        <v>59.075184853040199</v>
      </c>
    </row>
    <row r="6" spans="2:11" x14ac:dyDescent="0.25">
      <c r="B6" s="3" t="s">
        <v>11</v>
      </c>
      <c r="C6" s="2">
        <v>10.74887081</v>
      </c>
      <c r="D6" s="2">
        <v>26.138822510000001</v>
      </c>
      <c r="E6" s="2">
        <v>29.332995960000002</v>
      </c>
      <c r="F6" s="2">
        <v>30.030469409999998</v>
      </c>
      <c r="H6"/>
    </row>
    <row r="7" spans="2:11" x14ac:dyDescent="0.25">
      <c r="B7" s="3"/>
      <c r="H7"/>
    </row>
    <row r="8" spans="2:11" x14ac:dyDescent="0.25">
      <c r="H8"/>
    </row>
    <row r="9" spans="2:11" x14ac:dyDescent="0.25">
      <c r="C9" s="1" t="s">
        <v>12</v>
      </c>
    </row>
    <row r="10" spans="2:11" x14ac:dyDescent="0.25">
      <c r="B10" s="1" t="s">
        <v>7</v>
      </c>
      <c r="C10" s="1" t="s">
        <v>3</v>
      </c>
      <c r="D10" s="1" t="s">
        <v>4</v>
      </c>
      <c r="E10" s="1" t="s">
        <v>5</v>
      </c>
      <c r="F10" s="1" t="s">
        <v>6</v>
      </c>
    </row>
    <row r="11" spans="2:11" x14ac:dyDescent="0.25">
      <c r="B11" s="3" t="s">
        <v>8</v>
      </c>
      <c r="C11" s="2">
        <f>H3/2</f>
        <v>10.959832413589</v>
      </c>
      <c r="D11" s="2">
        <f t="shared" ref="D11:F11" si="7">I3/2</f>
        <v>28.324353385278549</v>
      </c>
      <c r="E11" s="2">
        <f t="shared" si="7"/>
        <v>34.852127522083151</v>
      </c>
      <c r="F11" s="2">
        <f t="shared" si="7"/>
        <v>42.656478070460203</v>
      </c>
    </row>
    <row r="12" spans="2:11" x14ac:dyDescent="0.25">
      <c r="B12" s="3" t="s">
        <v>9</v>
      </c>
      <c r="C12" s="2">
        <f>H4/2</f>
        <v>10.91692151175895</v>
      </c>
      <c r="D12" s="2">
        <f t="shared" ref="D12" si="8">I4/2</f>
        <v>27.862187678170201</v>
      </c>
      <c r="E12" s="2">
        <f t="shared" ref="E12" si="9">J4/2</f>
        <v>33.444778245307504</v>
      </c>
      <c r="F12" s="2">
        <f t="shared" ref="F12" si="10">K4/2</f>
        <v>37.871289190077398</v>
      </c>
    </row>
    <row r="13" spans="2:11" x14ac:dyDescent="0.25">
      <c r="B13" s="3" t="s">
        <v>10</v>
      </c>
      <c r="C13" s="2">
        <f>H5/2</f>
        <v>10.7304558099744</v>
      </c>
      <c r="D13" s="2">
        <f t="shared" ref="D13" si="11">I5/2</f>
        <v>25.964829167211249</v>
      </c>
      <c r="E13" s="2">
        <f t="shared" ref="E13" si="12">J5/2</f>
        <v>28.968900201942251</v>
      </c>
      <c r="F13" s="2">
        <f t="shared" ref="F13" si="13">K5/2</f>
        <v>29.537592426520099</v>
      </c>
    </row>
    <row r="14" spans="2:11" x14ac:dyDescent="0.25">
      <c r="B14" s="3" t="s">
        <v>11</v>
      </c>
      <c r="C14" s="2">
        <v>11.170787987069501</v>
      </c>
      <c r="D14" s="2">
        <v>30.5098542068759</v>
      </c>
      <c r="E14" s="2">
        <v>40.371170481567603</v>
      </c>
      <c r="F14" s="2">
        <v>55.282130848034797</v>
      </c>
      <c r="H14"/>
      <c r="I14"/>
      <c r="J14"/>
      <c r="K14"/>
    </row>
    <row r="15" spans="2:11" x14ac:dyDescent="0.25">
      <c r="B15" s="3"/>
      <c r="I15"/>
    </row>
    <row r="16" spans="2:11" x14ac:dyDescent="0.25">
      <c r="I16"/>
    </row>
    <row r="17" spans="2:9" x14ac:dyDescent="0.25">
      <c r="I17"/>
    </row>
    <row r="22" spans="2:9" x14ac:dyDescent="0.25">
      <c r="C22" s="5" t="s">
        <v>14</v>
      </c>
      <c r="D22" s="5"/>
    </row>
    <row r="24" spans="2:9" x14ac:dyDescent="0.25">
      <c r="C24" s="1" t="s">
        <v>16</v>
      </c>
      <c r="D24" s="1" t="s">
        <v>17</v>
      </c>
      <c r="E24" s="1" t="s">
        <v>21</v>
      </c>
    </row>
    <row r="25" spans="2:9" x14ac:dyDescent="0.25">
      <c r="B25" s="3" t="s">
        <v>8</v>
      </c>
      <c r="C25" s="4">
        <v>1.25E-3</v>
      </c>
      <c r="D25" s="6">
        <v>1.25E-3</v>
      </c>
      <c r="E25" s="4">
        <f>SUM(C25:D25)</f>
        <v>2.5000000000000001E-3</v>
      </c>
    </row>
    <row r="26" spans="2:9" x14ac:dyDescent="0.25">
      <c r="B26" s="3" t="s">
        <v>9</v>
      </c>
      <c r="C26" s="4">
        <v>1.245E-3</v>
      </c>
      <c r="D26" s="6">
        <v>1.245E-3</v>
      </c>
      <c r="E26" s="4">
        <f t="shared" ref="E26:E27" si="14">SUM(C26:D26)</f>
        <v>2.49E-3</v>
      </c>
    </row>
    <row r="27" spans="2:9" x14ac:dyDescent="0.25">
      <c r="B27" s="3" t="s">
        <v>10</v>
      </c>
      <c r="C27" s="4">
        <v>1.23E-3</v>
      </c>
      <c r="D27" s="6">
        <v>1.23E-3</v>
      </c>
      <c r="E27" s="4">
        <f t="shared" si="14"/>
        <v>2.4599999999999999E-3</v>
      </c>
    </row>
    <row r="28" spans="2:9" x14ac:dyDescent="0.25">
      <c r="B28" s="3" t="s">
        <v>11</v>
      </c>
      <c r="C28" s="6">
        <v>1.23E-3</v>
      </c>
      <c r="D28" s="6">
        <v>1.2700000000000001E-3</v>
      </c>
      <c r="E28" s="4">
        <f>SUM(C28:D28)</f>
        <v>2.5000000000000001E-3</v>
      </c>
    </row>
    <row r="31" spans="2:9" x14ac:dyDescent="0.25">
      <c r="C31" s="5" t="s">
        <v>15</v>
      </c>
    </row>
    <row r="32" spans="2:9" x14ac:dyDescent="0.25">
      <c r="B32" s="1" t="s">
        <v>20</v>
      </c>
      <c r="C32" s="1" t="s">
        <v>18</v>
      </c>
      <c r="D32" s="1" t="s">
        <v>19</v>
      </c>
      <c r="E32" s="1" t="s">
        <v>21</v>
      </c>
    </row>
    <row r="33" spans="2:5" x14ac:dyDescent="0.25">
      <c r="B33" s="3" t="s">
        <v>8</v>
      </c>
      <c r="C33" s="4">
        <v>2.6449999999999999E-5</v>
      </c>
      <c r="D33" s="6">
        <v>2.6449999999999999E-5</v>
      </c>
      <c r="E33" s="4">
        <f>SUM(C33:D33)</f>
        <v>5.2899999999999998E-5</v>
      </c>
    </row>
    <row r="34" spans="2:5" x14ac:dyDescent="0.25">
      <c r="B34" s="3" t="s">
        <v>9</v>
      </c>
      <c r="C34" s="4">
        <v>2.455E-5</v>
      </c>
      <c r="D34" s="6">
        <v>2.455E-5</v>
      </c>
      <c r="E34" s="4">
        <f t="shared" ref="E34:E35" si="15">SUM(C34:D34)</f>
        <v>4.9100000000000001E-5</v>
      </c>
    </row>
    <row r="35" spans="2:5" x14ac:dyDescent="0.25">
      <c r="B35" s="3" t="s">
        <v>10</v>
      </c>
      <c r="C35" s="4">
        <v>1.965E-5</v>
      </c>
      <c r="D35" s="6">
        <v>1.965E-5</v>
      </c>
      <c r="E35" s="4">
        <f t="shared" si="15"/>
        <v>3.93E-5</v>
      </c>
    </row>
    <row r="36" spans="2:5" x14ac:dyDescent="0.25">
      <c r="B36" s="3" t="s">
        <v>11</v>
      </c>
      <c r="C36" s="6">
        <v>1.9899999999999999E-5</v>
      </c>
      <c r="D36" s="6">
        <v>3.4799999999999999E-5</v>
      </c>
      <c r="E36" s="4">
        <f>SUM(C36:D36)</f>
        <v>5.4700000000000001E-5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9CD7-C22D-47B1-9AAE-78DD4EFA44B3}">
  <dimension ref="A1:C5"/>
  <sheetViews>
    <sheetView workbookViewId="0">
      <selection activeCell="C2" sqref="C2:C5"/>
    </sheetView>
  </sheetViews>
  <sheetFormatPr defaultRowHeight="15" x14ac:dyDescent="0.25"/>
  <cols>
    <col min="3" max="3" width="1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</v>
      </c>
      <c r="B2" t="s">
        <v>3</v>
      </c>
      <c r="C2">
        <v>21.919664827178</v>
      </c>
    </row>
    <row r="3" spans="1:3" x14ac:dyDescent="0.25">
      <c r="A3">
        <v>168</v>
      </c>
      <c r="B3" t="s">
        <v>4</v>
      </c>
      <c r="C3">
        <v>56.648706770557098</v>
      </c>
    </row>
    <row r="4" spans="1:3" x14ac:dyDescent="0.25">
      <c r="A4">
        <v>720</v>
      </c>
      <c r="B4" t="s">
        <v>5</v>
      </c>
      <c r="C4">
        <v>69.704255044166302</v>
      </c>
    </row>
    <row r="5" spans="1:3" x14ac:dyDescent="0.25">
      <c r="A5">
        <v>2209</v>
      </c>
      <c r="B5" t="s">
        <v>6</v>
      </c>
      <c r="C5">
        <v>85.312956140920406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Sums</vt:lpstr>
      <vt:lpstr>sumCnrvTrcr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Burch Primeau</dc:creator>
  <cp:lastModifiedBy>Russell Burch Primeau</cp:lastModifiedBy>
  <dcterms:created xsi:type="dcterms:W3CDTF">2024-09-11T19:12:40Z</dcterms:created>
  <dcterms:modified xsi:type="dcterms:W3CDTF">2024-09-12T09:51:34Z</dcterms:modified>
</cp:coreProperties>
</file>